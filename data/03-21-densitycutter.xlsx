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e\Documents\Uni\Master-Mechatronik\Masterarbeit\SMP-SignalProcessing\data\"/>
    </mc:Choice>
  </mc:AlternateContent>
  <xr:revisionPtr revIDLastSave="0" documentId="13_ncr:1_{0879BE1A-EB3F-46B4-9BE2-7429CEE3B3FE}" xr6:coauthVersionLast="47" xr6:coauthVersionMax="47" xr10:uidLastSave="{00000000-0000-0000-0000-000000000000}"/>
  <bookViews>
    <workbookView xWindow="-28905" yWindow="60" windowWidth="14610" windowHeight="15585" xr2:uid="{FC14D368-F54E-477D-9C66-9A96069A1A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11" i="1"/>
  <c r="I10" i="1"/>
  <c r="I4" i="1"/>
  <c r="I6" i="1"/>
  <c r="I7" i="1"/>
  <c r="I8" i="1"/>
  <c r="I9" i="1"/>
  <c r="I12" i="1"/>
  <c r="H12" i="1"/>
  <c r="H3" i="1"/>
  <c r="G3" i="1"/>
  <c r="G4" i="1"/>
  <c r="G6" i="1"/>
  <c r="G7" i="1"/>
  <c r="G9" i="1"/>
  <c r="G10" i="1"/>
  <c r="G11" i="1"/>
  <c r="G12" i="1"/>
</calcChain>
</file>

<file path=xl/sharedStrings.xml><?xml version="1.0" encoding="utf-8"?>
<sst xmlns="http://schemas.openxmlformats.org/spreadsheetml/2006/main" count="16" uniqueCount="11">
  <si>
    <t>snowdepth</t>
  </si>
  <si>
    <t>snowheight</t>
  </si>
  <si>
    <t>density2</t>
  </si>
  <si>
    <t>density3</t>
  </si>
  <si>
    <t>deviation in %</t>
  </si>
  <si>
    <t>deviation 2</t>
  </si>
  <si>
    <t>Nan</t>
  </si>
  <si>
    <t xml:space="preserve">mean </t>
  </si>
  <si>
    <t xml:space="preserve"> in kg/m^3</t>
  </si>
  <si>
    <t>density1</t>
  </si>
  <si>
    <t>density4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</si>
</sst>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71F2-3FA2-40BD-AAEC-D8ABA50D1216}">
  <dimension ref="A1:J12"/>
  <sheetViews>
    <sheetView tabSelected="1" workbookViewId="0">
      <selection activeCell="C16" sqref="C16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7</v>
      </c>
      <c r="J1" t="s">
        <v>8</v>
      </c>
    </row>
    <row r="2" spans="1:10" x14ac:dyDescent="0.35">
      <c r="A2" s="3">
        <v>3.5</v>
      </c>
      <c r="B2" s="3">
        <v>85</v>
      </c>
      <c r="C2" s="1" t="s">
        <v>6</v>
      </c>
      <c r="D2" s="1"/>
      <c r="E2" s="1"/>
      <c r="G2" t="s">
        <v>6</v>
      </c>
      <c r="I2" t="s">
        <v>6</v>
      </c>
    </row>
    <row r="3" spans="1:10" x14ac:dyDescent="0.35">
      <c r="A3" s="2">
        <v>8.5</v>
      </c>
      <c r="B3" s="3">
        <v>80</v>
      </c>
      <c r="C3" s="1">
        <v>182</v>
      </c>
      <c r="D3" s="1">
        <v>171</v>
      </c>
      <c r="E3" s="1">
        <v>174</v>
      </c>
      <c r="G3">
        <f>ABS(D3 - C3) / C3 * 100</f>
        <v>6.0439560439560438</v>
      </c>
      <c r="H3">
        <f>ABS(E3 - C3) / C3 * 100</f>
        <v>4.395604395604396</v>
      </c>
      <c r="I3">
        <f>AVERAGE(C3:E3)</f>
        <v>175.66666666666666</v>
      </c>
    </row>
    <row r="4" spans="1:10" x14ac:dyDescent="0.35">
      <c r="A4" s="2">
        <v>14.5</v>
      </c>
      <c r="B4" s="3">
        <v>74</v>
      </c>
      <c r="C4" s="1">
        <v>184</v>
      </c>
      <c r="D4" s="1">
        <v>184</v>
      </c>
      <c r="E4" s="1"/>
      <c r="G4">
        <f>ABS(D4 - C4) / C4 * 100</f>
        <v>0</v>
      </c>
      <c r="I4">
        <f>AVERAGE(C4:E4)</f>
        <v>184</v>
      </c>
    </row>
    <row r="5" spans="1:10" x14ac:dyDescent="0.35">
      <c r="A5" s="2">
        <v>16.5</v>
      </c>
      <c r="B5" s="3">
        <v>72</v>
      </c>
      <c r="C5" s="1" t="s">
        <v>6</v>
      </c>
      <c r="D5" s="1"/>
      <c r="E5" s="1"/>
      <c r="G5" t="s">
        <v>6</v>
      </c>
      <c r="I5" t="s">
        <v>6</v>
      </c>
    </row>
    <row r="6" spans="1:10" x14ac:dyDescent="0.35">
      <c r="A6" s="2">
        <v>21.5</v>
      </c>
      <c r="B6" s="3">
        <v>67</v>
      </c>
      <c r="C6" s="1">
        <v>216</v>
      </c>
      <c r="D6" s="1">
        <v>218</v>
      </c>
      <c r="E6" s="1"/>
      <c r="G6">
        <f>ABS(D6 - C6) / C6 * 100</f>
        <v>0.92592592592592582</v>
      </c>
      <c r="I6">
        <f t="shared" ref="I6:I12" si="0">AVERAGE(C6:E6)</f>
        <v>217</v>
      </c>
    </row>
    <row r="7" spans="1:10" x14ac:dyDescent="0.35">
      <c r="A7" s="2">
        <v>29.5</v>
      </c>
      <c r="B7" s="3">
        <v>59</v>
      </c>
      <c r="C7" s="1">
        <v>229</v>
      </c>
      <c r="D7" s="1">
        <v>229</v>
      </c>
      <c r="E7" s="1"/>
      <c r="G7">
        <f>ABS(D7 - C7) / C7 * 100</f>
        <v>0</v>
      </c>
      <c r="I7">
        <f t="shared" si="0"/>
        <v>229</v>
      </c>
    </row>
    <row r="8" spans="1:10" x14ac:dyDescent="0.35">
      <c r="A8" s="2">
        <v>34.5</v>
      </c>
      <c r="B8" s="3">
        <v>54</v>
      </c>
      <c r="C8" s="1">
        <v>357</v>
      </c>
      <c r="D8" s="1">
        <v>357</v>
      </c>
      <c r="E8" s="1"/>
      <c r="G8">
        <v>0</v>
      </c>
      <c r="I8">
        <f t="shared" si="0"/>
        <v>357</v>
      </c>
    </row>
    <row r="9" spans="1:10" x14ac:dyDescent="0.35">
      <c r="A9" s="2">
        <v>47.5</v>
      </c>
      <c r="B9" s="3">
        <v>41</v>
      </c>
      <c r="C9" s="1">
        <v>260</v>
      </c>
      <c r="D9" s="1">
        <v>258</v>
      </c>
      <c r="E9" s="1"/>
      <c r="G9">
        <f>ABS(D9 - C9) / C9 * 100</f>
        <v>0.76923076923076927</v>
      </c>
      <c r="I9">
        <f t="shared" si="0"/>
        <v>259</v>
      </c>
    </row>
    <row r="10" spans="1:10" x14ac:dyDescent="0.35">
      <c r="A10" s="2">
        <v>57.5</v>
      </c>
      <c r="B10" s="3">
        <v>31</v>
      </c>
      <c r="C10" s="1">
        <v>305</v>
      </c>
      <c r="D10" s="1">
        <v>310</v>
      </c>
      <c r="E10" s="1"/>
      <c r="G10">
        <f>ABS(D10 - C10) / C10 * 100</f>
        <v>1.639344262295082</v>
      </c>
      <c r="I10">
        <f>AVERAGE(C10:D10)</f>
        <v>307.5</v>
      </c>
    </row>
    <row r="11" spans="1:10" x14ac:dyDescent="0.35">
      <c r="A11" s="2">
        <v>63</v>
      </c>
      <c r="B11" s="3">
        <v>25.5</v>
      </c>
      <c r="C11" s="1">
        <v>245</v>
      </c>
      <c r="D11" s="1">
        <v>243</v>
      </c>
      <c r="E11" s="1"/>
      <c r="G11">
        <f>ABS(D11 - C11) / C11 * 100</f>
        <v>0.81632653061224492</v>
      </c>
      <c r="I11">
        <f>AVERAGE(C11:E11)</f>
        <v>244</v>
      </c>
    </row>
    <row r="12" spans="1:10" x14ac:dyDescent="0.35">
      <c r="A12" s="2">
        <v>78.5</v>
      </c>
      <c r="B12" s="3">
        <v>10</v>
      </c>
      <c r="C12" s="1">
        <v>244</v>
      </c>
      <c r="D12" s="1">
        <v>231</v>
      </c>
      <c r="E12" s="1">
        <v>235</v>
      </c>
      <c r="G12">
        <f>ABS(D12 - C12) / C12 * 100</f>
        <v>5.3278688524590159</v>
      </c>
      <c r="H12">
        <f>ABS(E12 - C12) / C12 * 100</f>
        <v>3.6885245901639343</v>
      </c>
      <c r="I12">
        <f t="shared" si="0"/>
        <v>236.66666666666666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Christin Lehnert</cp:lastModifiedBy>
  <dcterms:created xsi:type="dcterms:W3CDTF">2025-03-24T08:40:15Z</dcterms:created>
  <dcterms:modified xsi:type="dcterms:W3CDTF">2025-05-05T11:03:12Z</dcterms:modified>
</cp:coreProperties>
</file>