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f14cd63a8f0d1/Masterarbeit-Jil_Lehnert/01-31-Messung/"/>
    </mc:Choice>
  </mc:AlternateContent>
  <xr:revisionPtr revIDLastSave="13" documentId="13_ncr:1_{CD349A19-14F9-4926-A7E2-D17B5C1466C2}" xr6:coauthVersionLast="47" xr6:coauthVersionMax="47" xr10:uidLastSave="{1217F728-87DC-4414-88DF-4B05703C8536}"/>
  <bookViews>
    <workbookView xWindow="-28920" yWindow="-60" windowWidth="29040" windowHeight="15720" xr2:uid="{61D6FC73-02F6-43A9-80E2-DF36798766F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G6" i="1"/>
  <c r="H2" i="1"/>
  <c r="F6" i="1"/>
  <c r="H6" i="1" s="1"/>
  <c r="F4" i="1"/>
  <c r="F5" i="1"/>
  <c r="F7" i="1"/>
  <c r="H7" i="1" s="1"/>
  <c r="F8" i="1"/>
  <c r="H8" i="1" s="1"/>
  <c r="F9" i="1"/>
  <c r="H9" i="1" s="1"/>
  <c r="F10" i="1"/>
  <c r="H10" i="1" s="1"/>
  <c r="F11" i="1"/>
  <c r="H11" i="1" s="1"/>
  <c r="H5" i="1"/>
  <c r="H4" i="1"/>
  <c r="H3" i="1"/>
</calcChain>
</file>

<file path=xl/sharedStrings.xml><?xml version="1.0" encoding="utf-8"?>
<sst xmlns="http://schemas.openxmlformats.org/spreadsheetml/2006/main" count="8" uniqueCount="8">
  <si>
    <t>snowdepth</t>
  </si>
  <si>
    <t>mean</t>
  </si>
  <si>
    <t>snowheight</t>
  </si>
  <si>
    <t>density1 in kg/m^3</t>
  </si>
  <si>
    <t>density2</t>
  </si>
  <si>
    <t>density3</t>
  </si>
  <si>
    <t>deviation in %</t>
  </si>
  <si>
    <t>deviation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</si>
</sst>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1CA8-A778-4AE0-A87F-1DE4A1FF0877}">
  <dimension ref="A1:H11"/>
  <sheetViews>
    <sheetView tabSelected="1" workbookViewId="0">
      <selection activeCell="H2" sqref="H2"/>
    </sheetView>
  </sheetViews>
  <sheetFormatPr baseColWidth="10" defaultRowHeight="14.5" x14ac:dyDescent="0.35"/>
  <sheetData>
    <row r="1" spans="1: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</row>
    <row r="2" spans="1:8" x14ac:dyDescent="0.35">
      <c r="A2">
        <v>0</v>
      </c>
      <c r="B2">
        <v>118</v>
      </c>
      <c r="C2">
        <v>117</v>
      </c>
      <c r="D2">
        <v>113</v>
      </c>
      <c r="F2">
        <f>ABS(D2 - C2) / C2 * 100</f>
        <v>3.4188034188034191</v>
      </c>
      <c r="H2">
        <f>AVERAGE(C2:E2)</f>
        <v>115</v>
      </c>
    </row>
    <row r="3" spans="1:8" x14ac:dyDescent="0.35">
      <c r="A3">
        <v>17</v>
      </c>
      <c r="B3">
        <v>101</v>
      </c>
      <c r="C3">
        <v>117</v>
      </c>
      <c r="D3">
        <v>113</v>
      </c>
      <c r="F3">
        <f>ABS(D3 - C3) / C3 * 100</f>
        <v>3.4188034188034191</v>
      </c>
      <c r="H3">
        <f>AVERAGE(C3:E3)</f>
        <v>115</v>
      </c>
    </row>
    <row r="4" spans="1:8" x14ac:dyDescent="0.35">
      <c r="A4">
        <v>32</v>
      </c>
      <c r="B4">
        <v>86</v>
      </c>
      <c r="C4">
        <v>144</v>
      </c>
      <c r="D4">
        <v>146</v>
      </c>
      <c r="F4">
        <f t="shared" ref="F4:F11" si="0">ABS(D4 - C4) / C4 * 100</f>
        <v>1.3888888888888888</v>
      </c>
      <c r="H4">
        <f>AVERAGE(C4:E4)</f>
        <v>145</v>
      </c>
    </row>
    <row r="5" spans="1:8" x14ac:dyDescent="0.35">
      <c r="A5">
        <v>45</v>
      </c>
      <c r="B5">
        <v>73</v>
      </c>
      <c r="C5">
        <v>178</v>
      </c>
      <c r="D5">
        <v>180</v>
      </c>
      <c r="F5">
        <f t="shared" si="0"/>
        <v>1.1235955056179776</v>
      </c>
      <c r="H5">
        <f>AVERAGE(C5:E5)</f>
        <v>179</v>
      </c>
    </row>
    <row r="6" spans="1:8" x14ac:dyDescent="0.35">
      <c r="A6">
        <v>48</v>
      </c>
      <c r="B6">
        <v>70</v>
      </c>
      <c r="C6">
        <v>288</v>
      </c>
      <c r="D6">
        <v>279</v>
      </c>
      <c r="E6">
        <v>280</v>
      </c>
      <c r="F6">
        <f>ABS(D6 - C6) / C6 * 100</f>
        <v>3.125</v>
      </c>
      <c r="G6">
        <f>ABS(E6 - C6) / C6 * 100</f>
        <v>2.7777777777777777</v>
      </c>
      <c r="H6">
        <f t="shared" ref="H6:H11" si="1">AVERAGE(C6:F6)</f>
        <v>212.53125</v>
      </c>
    </row>
    <row r="7" spans="1:8" x14ac:dyDescent="0.35">
      <c r="A7">
        <v>68</v>
      </c>
      <c r="B7">
        <v>50</v>
      </c>
      <c r="C7">
        <v>267</v>
      </c>
      <c r="D7">
        <v>270</v>
      </c>
      <c r="F7">
        <f t="shared" si="0"/>
        <v>1.1235955056179776</v>
      </c>
      <c r="H7">
        <f t="shared" si="1"/>
        <v>179.374531835206</v>
      </c>
    </row>
    <row r="8" spans="1:8" x14ac:dyDescent="0.35">
      <c r="A8">
        <v>74</v>
      </c>
      <c r="B8">
        <v>44</v>
      </c>
      <c r="C8">
        <v>311</v>
      </c>
      <c r="D8">
        <v>312</v>
      </c>
      <c r="F8">
        <f t="shared" si="0"/>
        <v>0.32154340836012862</v>
      </c>
      <c r="H8">
        <f t="shared" si="1"/>
        <v>207.77384780278672</v>
      </c>
    </row>
    <row r="9" spans="1:8" x14ac:dyDescent="0.35">
      <c r="A9">
        <v>84</v>
      </c>
      <c r="B9">
        <v>34</v>
      </c>
      <c r="C9">
        <v>363</v>
      </c>
      <c r="D9">
        <v>363</v>
      </c>
      <c r="F9">
        <f t="shared" si="0"/>
        <v>0</v>
      </c>
      <c r="H9">
        <f t="shared" si="1"/>
        <v>242</v>
      </c>
    </row>
    <row r="10" spans="1:8" x14ac:dyDescent="0.35">
      <c r="A10">
        <v>89</v>
      </c>
      <c r="B10">
        <v>29</v>
      </c>
      <c r="C10">
        <v>287</v>
      </c>
      <c r="D10">
        <v>294</v>
      </c>
      <c r="F10">
        <f t="shared" si="0"/>
        <v>2.4390243902439024</v>
      </c>
      <c r="H10">
        <f t="shared" si="1"/>
        <v>194.47967479674799</v>
      </c>
    </row>
    <row r="11" spans="1:8" x14ac:dyDescent="0.35">
      <c r="A11">
        <v>118</v>
      </c>
      <c r="B11">
        <v>0</v>
      </c>
      <c r="C11">
        <v>286</v>
      </c>
      <c r="D11">
        <v>288</v>
      </c>
      <c r="F11">
        <f t="shared" si="0"/>
        <v>0.69930069930069927</v>
      </c>
      <c r="H11">
        <f t="shared" si="1"/>
        <v>191.56643356643357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Lehnert</cp:lastModifiedBy>
  <dcterms:created xsi:type="dcterms:W3CDTF">2025-03-10T16:06:47Z</dcterms:created>
  <dcterms:modified xsi:type="dcterms:W3CDTF">2025-03-24T09:18:07Z</dcterms:modified>
</cp:coreProperties>
</file>